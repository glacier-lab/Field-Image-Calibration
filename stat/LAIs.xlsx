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686295\GitHub\postdoc\Field-Image-Calibration\stat\"/>
    </mc:Choice>
  </mc:AlternateContent>
  <xr:revisionPtr revIDLastSave="0" documentId="13_ncr:1_{A1AC79D2-C85F-48B6-9B07-E247EE505A57}" xr6:coauthVersionLast="47" xr6:coauthVersionMax="47" xr10:uidLastSave="{00000000-0000-0000-0000-000000000000}"/>
  <bookViews>
    <workbookView xWindow="28680" yWindow="-120" windowWidth="38640" windowHeight="21120" firstSheet="1" activeTab="1" xr2:uid="{00000000-000D-0000-FFFF-FFFF00000000}"/>
  </bookViews>
  <sheets>
    <sheet name="glacier_algae (2)" sheetId="4" r:id="rId1"/>
    <sheet name="glacier_algae" sheetId="2" r:id="rId2"/>
    <sheet name="snow_alga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  <c r="J17" i="2"/>
</calcChain>
</file>

<file path=xl/sharedStrings.xml><?xml version="1.0" encoding="utf-8"?>
<sst xmlns="http://schemas.openxmlformats.org/spreadsheetml/2006/main" count="98" uniqueCount="51">
  <si>
    <t>Sample</t>
  </si>
  <si>
    <t>GR24_S1-01</t>
  </si>
  <si>
    <t>GR24_S1-02</t>
  </si>
  <si>
    <t>GR24_S1-03</t>
  </si>
  <si>
    <t>GR24_S1-04</t>
  </si>
  <si>
    <t>GR24_S1-05</t>
  </si>
  <si>
    <t>GR24_S1-06</t>
  </si>
  <si>
    <t>GR24_S2-01</t>
  </si>
  <si>
    <t>GR24_S2-02</t>
  </si>
  <si>
    <t>GR24_MARGIN_1</t>
  </si>
  <si>
    <t>GR24_MARGIN_BG2</t>
  </si>
  <si>
    <t>GR24_MARGIN_BG3</t>
  </si>
  <si>
    <t>GR24_BG_01</t>
  </si>
  <si>
    <t>GR24_BG_02</t>
  </si>
  <si>
    <t>GR24_BG_03</t>
  </si>
  <si>
    <t>GR24_BG_04</t>
  </si>
  <si>
    <t>GR24_BG_05</t>
  </si>
  <si>
    <t>GR24_BG_06</t>
  </si>
  <si>
    <t>GR24_BG_07</t>
  </si>
  <si>
    <t>GR24_BG_08</t>
  </si>
  <si>
    <t>GR24_BG_09</t>
  </si>
  <si>
    <t>GR24_BG_11</t>
  </si>
  <si>
    <t>GR24_BG_12</t>
  </si>
  <si>
    <t>GR24_BG_13</t>
  </si>
  <si>
    <t>GR24_BG_14</t>
  </si>
  <si>
    <t>GR24_BG_15</t>
  </si>
  <si>
    <t>GR24_BG_16</t>
  </si>
  <si>
    <t>GR24_BG_17</t>
  </si>
  <si>
    <t>Lightness values</t>
  </si>
  <si>
    <t>Stdev</t>
  </si>
  <si>
    <t>Area scraped (cm3) - approx</t>
  </si>
  <si>
    <t>Ancylonema Filaments [mL-1]</t>
  </si>
  <si>
    <t>Ancylonema Single cells in Filaments [mL-1]</t>
  </si>
  <si>
    <t>Unicell Ancylonema [mL-1]</t>
  </si>
  <si>
    <t>Total Ancylomena cells [mL-1]</t>
  </si>
  <si>
    <t>Snow Algae [mL-1]</t>
  </si>
  <si>
    <t>label</t>
  </si>
  <si>
    <t>95_SA1</t>
  </si>
  <si>
    <t>75_GA1</t>
  </si>
  <si>
    <t>76a_GA2</t>
  </si>
  <si>
    <t>77a_GA3</t>
  </si>
  <si>
    <t>78A_GA4</t>
  </si>
  <si>
    <t>79_GA5</t>
  </si>
  <si>
    <t>98_SA4</t>
  </si>
  <si>
    <t>99_SA5</t>
  </si>
  <si>
    <t>96_SA2</t>
  </si>
  <si>
    <t>97_SA3</t>
  </si>
  <si>
    <t>rcc</t>
  </si>
  <si>
    <t>rcc_std</t>
  </si>
  <si>
    <t>cc_frac</t>
  </si>
  <si>
    <t>Area scraped (cm2) - 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</si>
</sst>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11" fontId="2" fillId="0" borderId="0" xfId="0" applyNumberFormat="1" applyFont="1"/>
    <xf numFmtId="11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'glacier_algae (2)'!$J$1</c:f>
              <c:strCache>
                <c:ptCount val="1"/>
                <c:pt idx="0">
                  <c:v>Total Ancylomena cells [mL-1]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293255183235318"/>
                  <c:y val="-0.24997956570307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'glacier_algae (2)'!$B$2:$B$28</c:f>
              <c:numCache>
                <c:formatCode>General</c:formatCode>
                <c:ptCount val="27"/>
                <c:pt idx="0">
                  <c:v>0.61909999999999998</c:v>
                </c:pt>
                <c:pt idx="1">
                  <c:v>0.65259999999999996</c:v>
                </c:pt>
                <c:pt idx="2">
                  <c:v>0.86680000000000001</c:v>
                </c:pt>
                <c:pt idx="3">
                  <c:v>0.9204</c:v>
                </c:pt>
                <c:pt idx="4">
                  <c:v>0.58199999999999996</c:v>
                </c:pt>
                <c:pt idx="5">
                  <c:v>0.67420000000000002</c:v>
                </c:pt>
                <c:pt idx="6">
                  <c:v>0.51229999999999998</c:v>
                </c:pt>
                <c:pt idx="7">
                  <c:v>0.59450000000000003</c:v>
                </c:pt>
                <c:pt idx="8">
                  <c:v>0.93540000000000001</c:v>
                </c:pt>
                <c:pt idx="9">
                  <c:v>0.62546000000000002</c:v>
                </c:pt>
                <c:pt idx="10">
                  <c:v>0.7419</c:v>
                </c:pt>
                <c:pt idx="11">
                  <c:v>0.86060000000000003</c:v>
                </c:pt>
                <c:pt idx="12">
                  <c:v>0.86529999999999996</c:v>
                </c:pt>
                <c:pt idx="13">
                  <c:v>0.79949999999999999</c:v>
                </c:pt>
                <c:pt idx="14">
                  <c:v>0.68669999999999998</c:v>
                </c:pt>
                <c:pt idx="15">
                  <c:v>0.74609999999999999</c:v>
                </c:pt>
                <c:pt idx="16">
                  <c:v>0.88029999999999997</c:v>
                </c:pt>
                <c:pt idx="17">
                  <c:v>0.63580000000000003</c:v>
                </c:pt>
                <c:pt idx="18">
                  <c:v>0.56540000000000001</c:v>
                </c:pt>
                <c:pt idx="19">
                  <c:v>0.86550000000000005</c:v>
                </c:pt>
                <c:pt idx="20">
                  <c:v>0.76559999999999995</c:v>
                </c:pt>
                <c:pt idx="21">
                  <c:v>0.53439999999999999</c:v>
                </c:pt>
                <c:pt idx="22">
                  <c:v>0.84830000000000005</c:v>
                </c:pt>
                <c:pt idx="23">
                  <c:v>0.66700000000000004</c:v>
                </c:pt>
                <c:pt idx="24">
                  <c:v>0.56899999999999995</c:v>
                </c:pt>
                <c:pt idx="25">
                  <c:v>0.31009999999999999</c:v>
                </c:pt>
                <c:pt idx="26">
                  <c:v>0.63339999999999996</c:v>
                </c:pt>
              </c:numCache>
            </c:numRef>
          </c:xVal>
          <c:yVal>
            <c:numRef>
              <c:f>'glacier_algae (2)'!$J$2:$J$28</c:f>
              <c:numCache>
                <c:formatCode>0.00E+00</c:formatCode>
                <c:ptCount val="27"/>
                <c:pt idx="0">
                  <c:v>91500</c:v>
                </c:pt>
                <c:pt idx="1">
                  <c:v>89000</c:v>
                </c:pt>
                <c:pt idx="2">
                  <c:v>6790</c:v>
                </c:pt>
                <c:pt idx="3">
                  <c:v>5740</c:v>
                </c:pt>
                <c:pt idx="4">
                  <c:v>98700</c:v>
                </c:pt>
                <c:pt idx="5">
                  <c:v>111000</c:v>
                </c:pt>
                <c:pt idx="6">
                  <c:v>114000</c:v>
                </c:pt>
                <c:pt idx="7">
                  <c:v>54800</c:v>
                </c:pt>
                <c:pt idx="9">
                  <c:v>5370</c:v>
                </c:pt>
                <c:pt idx="11">
                  <c:v>1110</c:v>
                </c:pt>
                <c:pt idx="12">
                  <c:v>439</c:v>
                </c:pt>
                <c:pt idx="13">
                  <c:v>1510</c:v>
                </c:pt>
                <c:pt idx="14">
                  <c:v>43400</c:v>
                </c:pt>
                <c:pt idx="15">
                  <c:v>392.26292303499861</c:v>
                </c:pt>
                <c:pt idx="16">
                  <c:v>155</c:v>
                </c:pt>
                <c:pt idx="17">
                  <c:v>52600</c:v>
                </c:pt>
                <c:pt idx="18">
                  <c:v>75200</c:v>
                </c:pt>
                <c:pt idx="19">
                  <c:v>2170</c:v>
                </c:pt>
                <c:pt idx="20">
                  <c:v>8240</c:v>
                </c:pt>
                <c:pt idx="22">
                  <c:v>6330</c:v>
                </c:pt>
                <c:pt idx="23">
                  <c:v>54900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75-4EBE-8DA5-C5C077D2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698527"/>
        <c:axId val="1031254223"/>
      </c:scatterChart>
      <c:valAx>
        <c:axId val="19386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31254223"/>
        <c:crosses val="autoZero"/>
        <c:crossBetween val="midCat"/>
      </c:valAx>
      <c:valAx>
        <c:axId val="10312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3869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glacier_algae!$J$1</c:f>
              <c:strCache>
                <c:ptCount val="1"/>
                <c:pt idx="0">
                  <c:v>Total Ancylomena cells [mL-1]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293255183235318"/>
                  <c:y val="-0.24997956570307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glacier_algae!$B$2:$B$28</c:f>
              <c:numCache>
                <c:formatCode>General</c:formatCode>
                <c:ptCount val="27"/>
                <c:pt idx="0">
                  <c:v>0.61909999999999998</c:v>
                </c:pt>
                <c:pt idx="1">
                  <c:v>0.65259999999999996</c:v>
                </c:pt>
                <c:pt idx="2">
                  <c:v>0.86680000000000001</c:v>
                </c:pt>
                <c:pt idx="3">
                  <c:v>0.9204</c:v>
                </c:pt>
                <c:pt idx="4">
                  <c:v>0.58199999999999996</c:v>
                </c:pt>
                <c:pt idx="5">
                  <c:v>0.67420000000000002</c:v>
                </c:pt>
                <c:pt idx="6">
                  <c:v>0.51229999999999998</c:v>
                </c:pt>
                <c:pt idx="7">
                  <c:v>0.59450000000000003</c:v>
                </c:pt>
                <c:pt idx="8">
                  <c:v>0.93540000000000001</c:v>
                </c:pt>
                <c:pt idx="9">
                  <c:v>0.62546000000000002</c:v>
                </c:pt>
                <c:pt idx="10">
                  <c:v>0.7419</c:v>
                </c:pt>
                <c:pt idx="11">
                  <c:v>0.86060000000000003</c:v>
                </c:pt>
                <c:pt idx="12">
                  <c:v>0.86529999999999996</c:v>
                </c:pt>
                <c:pt idx="13">
                  <c:v>0.79949999999999999</c:v>
                </c:pt>
                <c:pt idx="14">
                  <c:v>0.68669999999999998</c:v>
                </c:pt>
                <c:pt idx="15">
                  <c:v>0.74609999999999999</c:v>
                </c:pt>
                <c:pt idx="16">
                  <c:v>0.88029999999999997</c:v>
                </c:pt>
                <c:pt idx="17">
                  <c:v>0.63580000000000003</c:v>
                </c:pt>
                <c:pt idx="18">
                  <c:v>0.56540000000000001</c:v>
                </c:pt>
                <c:pt idx="19">
                  <c:v>0.86550000000000005</c:v>
                </c:pt>
                <c:pt idx="20">
                  <c:v>0.76559999999999995</c:v>
                </c:pt>
                <c:pt idx="21">
                  <c:v>0.53439999999999999</c:v>
                </c:pt>
                <c:pt idx="22">
                  <c:v>0.84830000000000005</c:v>
                </c:pt>
                <c:pt idx="23">
                  <c:v>0.66700000000000004</c:v>
                </c:pt>
                <c:pt idx="24">
                  <c:v>0.56899999999999995</c:v>
                </c:pt>
                <c:pt idx="25">
                  <c:v>0.31009999999999999</c:v>
                </c:pt>
                <c:pt idx="26">
                  <c:v>0.63339999999999996</c:v>
                </c:pt>
              </c:numCache>
            </c:numRef>
          </c:xVal>
          <c:yVal>
            <c:numRef>
              <c:f>glacier_algae!$J$2:$J$28</c:f>
              <c:numCache>
                <c:formatCode>0.00E+00</c:formatCode>
                <c:ptCount val="27"/>
                <c:pt idx="0">
                  <c:v>91500</c:v>
                </c:pt>
                <c:pt idx="1">
                  <c:v>89000</c:v>
                </c:pt>
                <c:pt idx="2">
                  <c:v>6790</c:v>
                </c:pt>
                <c:pt idx="3">
                  <c:v>5740</c:v>
                </c:pt>
                <c:pt idx="4">
                  <c:v>98700</c:v>
                </c:pt>
                <c:pt idx="5">
                  <c:v>111000</c:v>
                </c:pt>
                <c:pt idx="6">
                  <c:v>114000</c:v>
                </c:pt>
                <c:pt idx="7">
                  <c:v>54800</c:v>
                </c:pt>
                <c:pt idx="9">
                  <c:v>5370</c:v>
                </c:pt>
                <c:pt idx="11">
                  <c:v>1110</c:v>
                </c:pt>
                <c:pt idx="12">
                  <c:v>439</c:v>
                </c:pt>
                <c:pt idx="13">
                  <c:v>1510</c:v>
                </c:pt>
                <c:pt idx="14">
                  <c:v>43400</c:v>
                </c:pt>
                <c:pt idx="15">
                  <c:v>392.26292303499861</c:v>
                </c:pt>
                <c:pt idx="16">
                  <c:v>155</c:v>
                </c:pt>
                <c:pt idx="17">
                  <c:v>52600</c:v>
                </c:pt>
                <c:pt idx="18">
                  <c:v>75200</c:v>
                </c:pt>
                <c:pt idx="19">
                  <c:v>2170</c:v>
                </c:pt>
                <c:pt idx="20">
                  <c:v>8240</c:v>
                </c:pt>
                <c:pt idx="22">
                  <c:v>6330</c:v>
                </c:pt>
                <c:pt idx="23">
                  <c:v>54900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CA-42E1-9FBD-86D16605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698527"/>
        <c:axId val="1031254223"/>
      </c:scatterChart>
      <c:valAx>
        <c:axId val="19386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31254223"/>
        <c:crosses val="autoZero"/>
        <c:crossBetween val="midCat"/>
      </c:valAx>
      <c:valAx>
        <c:axId val="10312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3869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34</xdr:row>
      <xdr:rowOff>101917</xdr:rowOff>
    </xdr:from>
    <xdr:to>
      <xdr:col>9</xdr:col>
      <xdr:colOff>331470</xdr:colOff>
      <xdr:row>49</xdr:row>
      <xdr:rowOff>143827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93989-245B-4119-B28D-F3E876AB5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34</xdr:row>
      <xdr:rowOff>101917</xdr:rowOff>
    </xdr:from>
    <xdr:to>
      <xdr:col>9</xdr:col>
      <xdr:colOff>331470</xdr:colOff>
      <xdr:row>49</xdr:row>
      <xdr:rowOff>143827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F07434-7DC4-4013-9D78-9D8068BE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5849-A836-4308-8FB1-2EDC5A9AE78D}">
  <dimension ref="A1:L33"/>
  <sheetViews>
    <sheetView workbookViewId="0">
      <selection activeCell="C32" sqref="C32"/>
    </sheetView>
  </sheetViews>
  <sheetFormatPr defaultRowHeight="14.4" x14ac:dyDescent="0.3"/>
  <cols>
    <col min="1" max="1" width="18" bestFit="1" customWidth="1"/>
    <col min="5" max="5" width="26.44140625" bestFit="1" customWidth="1"/>
    <col min="6" max="6" width="19.88671875" customWidth="1"/>
    <col min="7" max="7" width="28.109375" bestFit="1" customWidth="1"/>
    <col min="8" max="8" width="41.44140625" bestFit="1" customWidth="1"/>
    <col min="9" max="9" width="25.5546875" bestFit="1" customWidth="1"/>
  </cols>
  <sheetData>
    <row r="1" spans="1:12" x14ac:dyDescent="0.3">
      <c r="A1" s="1" t="s">
        <v>0</v>
      </c>
      <c r="B1" s="1" t="s">
        <v>28</v>
      </c>
      <c r="C1" s="1" t="s">
        <v>29</v>
      </c>
      <c r="D1" s="1" t="s">
        <v>49</v>
      </c>
      <c r="E1" s="1" t="s">
        <v>30</v>
      </c>
      <c r="F1" s="4" t="s">
        <v>35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36</v>
      </c>
      <c r="L1" s="1"/>
    </row>
    <row r="2" spans="1:12" x14ac:dyDescent="0.3">
      <c r="A2" s="2" t="s">
        <v>1</v>
      </c>
      <c r="B2" s="2">
        <v>0.61909999999999998</v>
      </c>
      <c r="C2" s="2">
        <v>0.1</v>
      </c>
      <c r="D2" s="2">
        <v>3.1500180973823212E-2</v>
      </c>
      <c r="E2" s="2">
        <v>1145.0999999999999</v>
      </c>
      <c r="F2" s="5">
        <v>61.4</v>
      </c>
      <c r="G2" s="5">
        <v>20800</v>
      </c>
      <c r="H2" s="5">
        <v>86000</v>
      </c>
      <c r="I2" s="5">
        <v>5560</v>
      </c>
      <c r="J2" s="5">
        <v>91500</v>
      </c>
      <c r="L2" s="2"/>
    </row>
    <row r="3" spans="1:12" x14ac:dyDescent="0.3">
      <c r="A3" s="2" t="s">
        <v>2</v>
      </c>
      <c r="B3" s="2">
        <v>0.65259999999999996</v>
      </c>
      <c r="C3" s="2">
        <v>0.1</v>
      </c>
      <c r="D3" s="2">
        <v>1.4118777509143884E-2</v>
      </c>
      <c r="E3" s="2">
        <v>778.8</v>
      </c>
      <c r="F3" s="5">
        <v>179</v>
      </c>
      <c r="G3" s="5">
        <v>20300</v>
      </c>
      <c r="H3" s="5">
        <v>83800</v>
      </c>
      <c r="I3" s="5">
        <v>5200</v>
      </c>
      <c r="J3" s="5">
        <v>89000</v>
      </c>
      <c r="L3" s="2"/>
    </row>
    <row r="4" spans="1:12" x14ac:dyDescent="0.3">
      <c r="A4" s="2" t="s">
        <v>3</v>
      </c>
      <c r="B4" s="2">
        <v>0.86680000000000001</v>
      </c>
      <c r="C4" s="2">
        <v>0.1</v>
      </c>
      <c r="D4" s="2">
        <v>3.8402733956685352E-3</v>
      </c>
      <c r="E4" s="2">
        <v>961.4</v>
      </c>
      <c r="F4" s="5"/>
      <c r="G4" s="5">
        <v>1060</v>
      </c>
      <c r="H4" s="5">
        <v>5420</v>
      </c>
      <c r="I4" s="5">
        <v>1360</v>
      </c>
      <c r="J4" s="5">
        <v>6790</v>
      </c>
      <c r="L4" s="2"/>
    </row>
    <row r="5" spans="1:12" x14ac:dyDescent="0.3">
      <c r="A5" s="2" t="s">
        <v>4</v>
      </c>
      <c r="B5" s="2">
        <v>0.9204</v>
      </c>
      <c r="C5" s="2">
        <v>0.1</v>
      </c>
      <c r="D5" s="2">
        <v>8.9964966481772353E-4</v>
      </c>
      <c r="E5" s="2">
        <v>624.6</v>
      </c>
      <c r="F5" s="5"/>
      <c r="G5" s="5">
        <v>954</v>
      </c>
      <c r="H5" s="5">
        <v>4580</v>
      </c>
      <c r="I5" s="5">
        <v>1160</v>
      </c>
      <c r="J5" s="5">
        <v>5740</v>
      </c>
      <c r="L5" s="2"/>
    </row>
    <row r="6" spans="1:12" x14ac:dyDescent="0.3">
      <c r="A6" s="2" t="s">
        <v>5</v>
      </c>
      <c r="B6" s="2">
        <v>0.58199999999999996</v>
      </c>
      <c r="C6" s="2">
        <v>862</v>
      </c>
      <c r="D6" s="2">
        <v>1.6144529509458421E-2</v>
      </c>
      <c r="E6" s="2">
        <v>1100</v>
      </c>
      <c r="F6" s="5">
        <v>91.6</v>
      </c>
      <c r="G6" s="5">
        <v>19800</v>
      </c>
      <c r="H6" s="5">
        <v>77900</v>
      </c>
      <c r="I6" s="5">
        <v>20700</v>
      </c>
      <c r="J6" s="5">
        <v>98700</v>
      </c>
      <c r="L6" s="2"/>
    </row>
    <row r="7" spans="1:12" x14ac:dyDescent="0.3">
      <c r="A7" s="2" t="s">
        <v>6</v>
      </c>
      <c r="B7" s="2">
        <v>0.67420000000000002</v>
      </c>
      <c r="C7" s="2">
        <v>0.1</v>
      </c>
      <c r="D7" s="2">
        <v>1.0835244750320067E-2</v>
      </c>
      <c r="E7" s="2">
        <v>841.9</v>
      </c>
      <c r="F7" s="5">
        <v>85</v>
      </c>
      <c r="G7" s="5">
        <v>24400</v>
      </c>
      <c r="H7" s="5">
        <v>93300</v>
      </c>
      <c r="I7" s="5">
        <v>17700</v>
      </c>
      <c r="J7" s="5">
        <v>111000</v>
      </c>
      <c r="L7" s="2"/>
    </row>
    <row r="8" spans="1:12" x14ac:dyDescent="0.3">
      <c r="A8" s="2" t="s">
        <v>7</v>
      </c>
      <c r="B8" s="2">
        <v>0.51229999999999998</v>
      </c>
      <c r="C8" s="2">
        <v>0.1</v>
      </c>
      <c r="D8" s="2">
        <v>2.4152136946381852E-2</v>
      </c>
      <c r="E8" s="2">
        <v>1188.5</v>
      </c>
      <c r="F8" s="5">
        <v>40.299999999999997</v>
      </c>
      <c r="G8" s="5">
        <v>24800</v>
      </c>
      <c r="H8" s="5">
        <v>109000</v>
      </c>
      <c r="I8" s="5">
        <v>4880</v>
      </c>
      <c r="J8" s="5">
        <v>114000</v>
      </c>
      <c r="L8" s="2"/>
    </row>
    <row r="9" spans="1:12" x14ac:dyDescent="0.3">
      <c r="A9" s="2" t="s">
        <v>8</v>
      </c>
      <c r="B9" s="2">
        <v>0.59450000000000003</v>
      </c>
      <c r="C9" s="2">
        <v>0.1</v>
      </c>
      <c r="D9" s="2">
        <v>2.9457383948342797E-2</v>
      </c>
      <c r="E9" s="2">
        <v>1668.6</v>
      </c>
      <c r="F9" s="5">
        <v>8.14</v>
      </c>
      <c r="G9" s="5">
        <v>11700</v>
      </c>
      <c r="H9" s="5">
        <v>53100</v>
      </c>
      <c r="I9" s="5">
        <v>1760</v>
      </c>
      <c r="J9" s="5">
        <v>54800</v>
      </c>
      <c r="L9" s="2"/>
    </row>
    <row r="10" spans="1:12" x14ac:dyDescent="0.3">
      <c r="A10" s="2" t="s">
        <v>9</v>
      </c>
      <c r="B10" s="2">
        <v>0.93540000000000001</v>
      </c>
      <c r="C10" s="2">
        <v>0</v>
      </c>
      <c r="D10" s="2">
        <v>5.8359843292148793E-7</v>
      </c>
      <c r="E10" s="2">
        <v>1033.3</v>
      </c>
      <c r="F10" s="2"/>
      <c r="G10" s="2"/>
      <c r="H10" s="2"/>
      <c r="I10" s="2">
        <v>14</v>
      </c>
      <c r="J10" s="2"/>
      <c r="L10" s="2"/>
    </row>
    <row r="11" spans="1:12" x14ac:dyDescent="0.3">
      <c r="A11" s="2" t="s">
        <v>10</v>
      </c>
      <c r="B11" s="2">
        <v>0.62546000000000002</v>
      </c>
      <c r="C11" s="2">
        <v>0.1</v>
      </c>
      <c r="D11" s="2">
        <v>0.11243097188951999</v>
      </c>
      <c r="E11" s="2">
        <v>1113.3</v>
      </c>
      <c r="F11" s="5"/>
      <c r="G11" s="5">
        <v>0</v>
      </c>
      <c r="H11" s="5">
        <v>0</v>
      </c>
      <c r="I11" s="5">
        <v>5370</v>
      </c>
      <c r="J11" s="5">
        <v>5370</v>
      </c>
      <c r="L11" s="2"/>
    </row>
    <row r="12" spans="1:12" x14ac:dyDescent="0.3">
      <c r="A12" s="2" t="s">
        <v>11</v>
      </c>
      <c r="B12" s="2">
        <v>0.7419</v>
      </c>
      <c r="C12" s="3">
        <v>0.1</v>
      </c>
      <c r="D12" s="3">
        <v>3.7141851624556085E-3</v>
      </c>
      <c r="E12" s="3">
        <v>872.9</v>
      </c>
      <c r="F12" s="2"/>
      <c r="G12" s="2"/>
      <c r="H12" s="2"/>
      <c r="I12" s="2"/>
      <c r="J12" s="2"/>
      <c r="L12" s="2"/>
    </row>
    <row r="13" spans="1:12" x14ac:dyDescent="0.3">
      <c r="A13" s="2" t="s">
        <v>12</v>
      </c>
      <c r="B13" s="2">
        <v>0.86060000000000003</v>
      </c>
      <c r="C13" s="2">
        <v>8.9899999999999994E-2</v>
      </c>
      <c r="D13" s="2">
        <v>2.5243867162267088E-2</v>
      </c>
      <c r="E13" s="2">
        <v>666.92</v>
      </c>
      <c r="F13" s="5"/>
      <c r="G13" s="5">
        <v>208</v>
      </c>
      <c r="H13" s="5">
        <v>968</v>
      </c>
      <c r="I13" s="5">
        <v>142</v>
      </c>
      <c r="J13" s="5">
        <v>1110</v>
      </c>
      <c r="L13" s="2"/>
    </row>
    <row r="14" spans="1:12" x14ac:dyDescent="0.3">
      <c r="A14" s="2" t="s">
        <v>13</v>
      </c>
      <c r="B14" s="2">
        <v>0.86529999999999996</v>
      </c>
      <c r="C14" s="2">
        <v>0.86599999999999999</v>
      </c>
      <c r="D14" s="2">
        <v>1.4193949240615997E-2</v>
      </c>
      <c r="E14" s="2">
        <v>645.69000000000005</v>
      </c>
      <c r="F14" s="5"/>
      <c r="G14" s="5">
        <v>58.8</v>
      </c>
      <c r="H14" s="5">
        <v>266</v>
      </c>
      <c r="I14" s="5">
        <v>173</v>
      </c>
      <c r="J14" s="5">
        <v>439</v>
      </c>
      <c r="L14" s="2"/>
    </row>
    <row r="15" spans="1:12" x14ac:dyDescent="0.3">
      <c r="A15" s="2" t="s">
        <v>14</v>
      </c>
      <c r="B15" s="2">
        <v>0.79949999999999999</v>
      </c>
      <c r="C15" s="2">
        <v>7.4300000000000005E-2</v>
      </c>
      <c r="D15" s="2">
        <v>1.3392177105150206E-2</v>
      </c>
      <c r="E15" s="2">
        <v>728.45</v>
      </c>
      <c r="F15" s="5"/>
      <c r="G15" s="5">
        <v>252</v>
      </c>
      <c r="H15" s="5">
        <v>995</v>
      </c>
      <c r="I15" s="5">
        <v>513</v>
      </c>
      <c r="J15" s="5">
        <v>1510</v>
      </c>
      <c r="L15" s="2"/>
    </row>
    <row r="16" spans="1:12" x14ac:dyDescent="0.3">
      <c r="A16" s="2" t="s">
        <v>15</v>
      </c>
      <c r="B16" s="2">
        <v>0.68669999999999998</v>
      </c>
      <c r="C16" s="2">
        <v>4.3999999999999997E-2</v>
      </c>
      <c r="D16" s="2">
        <v>1.5929243356614313E-3</v>
      </c>
      <c r="E16" s="2">
        <v>340.4</v>
      </c>
      <c r="F16" s="5">
        <v>1.05</v>
      </c>
      <c r="G16" s="5">
        <v>9160</v>
      </c>
      <c r="H16" s="5">
        <v>35300</v>
      </c>
      <c r="I16" s="5">
        <v>8090</v>
      </c>
      <c r="J16" s="5">
        <v>43400</v>
      </c>
      <c r="L16" s="2"/>
    </row>
    <row r="17" spans="1:12" x14ac:dyDescent="0.3">
      <c r="A17" s="2" t="s">
        <v>16</v>
      </c>
      <c r="B17">
        <v>0.74609999999999999</v>
      </c>
      <c r="C17">
        <v>4.1599999999999998E-2</v>
      </c>
      <c r="D17">
        <v>6.6114327148240157E-2</v>
      </c>
      <c r="E17">
        <v>233.41</v>
      </c>
      <c r="F17" s="6">
        <v>0</v>
      </c>
      <c r="G17" s="6">
        <v>87.277801563515865</v>
      </c>
      <c r="H17" s="6">
        <v>335.58943779008479</v>
      </c>
      <c r="I17" s="6">
        <v>56.67348524491382</v>
      </c>
      <c r="J17" s="6">
        <f t="shared" ref="J17" si="0">H17+I17</f>
        <v>392.26292303499861</v>
      </c>
    </row>
    <row r="18" spans="1:12" x14ac:dyDescent="0.3">
      <c r="A18" s="2" t="s">
        <v>17</v>
      </c>
      <c r="B18" s="2">
        <v>0.88029999999999997</v>
      </c>
      <c r="C18" s="2">
        <v>0.107</v>
      </c>
      <c r="D18" s="2">
        <v>5.6905402999777283E-2</v>
      </c>
      <c r="E18" s="2">
        <v>433.33</v>
      </c>
      <c r="F18" s="5"/>
      <c r="G18" s="5">
        <v>16.899999999999999</v>
      </c>
      <c r="H18" s="5">
        <v>62.8</v>
      </c>
      <c r="I18" s="5">
        <v>92.7</v>
      </c>
      <c r="J18" s="5">
        <v>155</v>
      </c>
      <c r="L18" s="2"/>
    </row>
    <row r="19" spans="1:12" x14ac:dyDescent="0.3">
      <c r="A19" s="2" t="s">
        <v>18</v>
      </c>
      <c r="B19" s="2">
        <v>0.63580000000000003</v>
      </c>
      <c r="C19" s="2">
        <v>5.6599999999999998E-2</v>
      </c>
      <c r="D19" s="2">
        <v>2.1139807512213834E-2</v>
      </c>
      <c r="E19" s="2">
        <v>408.72</v>
      </c>
      <c r="F19" s="5">
        <v>8.3699999999999992</v>
      </c>
      <c r="G19" s="5">
        <v>10400</v>
      </c>
      <c r="H19" s="5">
        <v>43100</v>
      </c>
      <c r="I19" s="5">
        <v>9520</v>
      </c>
      <c r="J19" s="5">
        <v>52600</v>
      </c>
      <c r="L19" s="2"/>
    </row>
    <row r="20" spans="1:12" x14ac:dyDescent="0.3">
      <c r="A20" s="2" t="s">
        <v>19</v>
      </c>
      <c r="B20" s="2">
        <v>0.56540000000000001</v>
      </c>
      <c r="C20" s="2">
        <v>4.6399999999999997E-2</v>
      </c>
      <c r="D20" s="2">
        <v>5.0288622965648884E-3</v>
      </c>
      <c r="E20" s="2">
        <v>380.08</v>
      </c>
      <c r="F20" s="5">
        <v>46</v>
      </c>
      <c r="G20" s="5">
        <v>9250</v>
      </c>
      <c r="H20" s="5">
        <v>45500</v>
      </c>
      <c r="I20" s="5">
        <v>29700</v>
      </c>
      <c r="J20" s="5">
        <v>75200</v>
      </c>
      <c r="L20" s="2"/>
    </row>
    <row r="21" spans="1:12" x14ac:dyDescent="0.3">
      <c r="A21" s="2" t="s">
        <v>20</v>
      </c>
      <c r="B21" s="2">
        <v>0.86550000000000005</v>
      </c>
      <c r="C21" s="2">
        <v>6.3799999999999996E-2</v>
      </c>
      <c r="D21" s="2">
        <v>1.0698191489654198E-2</v>
      </c>
      <c r="E21" s="2">
        <v>536.41999999999996</v>
      </c>
      <c r="F21" s="5">
        <v>2.09</v>
      </c>
      <c r="G21" s="5">
        <v>144</v>
      </c>
      <c r="H21" s="5">
        <v>601</v>
      </c>
      <c r="I21" s="5">
        <v>1570</v>
      </c>
      <c r="J21" s="5">
        <v>2170</v>
      </c>
      <c r="L21" s="2"/>
    </row>
    <row r="22" spans="1:12" x14ac:dyDescent="0.3">
      <c r="A22" s="2" t="s">
        <v>21</v>
      </c>
      <c r="B22" s="2">
        <v>0.76559999999999995</v>
      </c>
      <c r="C22" s="2">
        <v>4.65E-2</v>
      </c>
      <c r="D22" s="2">
        <v>8.9541705785103065E-3</v>
      </c>
      <c r="E22" s="2">
        <v>674.89</v>
      </c>
      <c r="F22" s="5">
        <v>9.6999999999999993</v>
      </c>
      <c r="G22" s="5">
        <v>1020</v>
      </c>
      <c r="H22" s="5">
        <v>5050</v>
      </c>
      <c r="I22" s="5">
        <v>3190</v>
      </c>
      <c r="J22" s="5">
        <v>8240</v>
      </c>
      <c r="L22" s="2"/>
    </row>
    <row r="23" spans="1:12" x14ac:dyDescent="0.3">
      <c r="A23" s="2" t="s">
        <v>22</v>
      </c>
      <c r="B23" s="2">
        <v>0.53439999999999999</v>
      </c>
      <c r="C23" s="2">
        <v>0.1153</v>
      </c>
      <c r="D23" s="2">
        <v>0.16846751362794241</v>
      </c>
      <c r="E23" s="2">
        <v>720.89</v>
      </c>
      <c r="F23" s="2"/>
      <c r="G23" s="2"/>
      <c r="H23" s="2"/>
      <c r="I23" s="2"/>
      <c r="J23" s="2"/>
      <c r="L23" s="2"/>
    </row>
    <row r="24" spans="1:12" x14ac:dyDescent="0.3">
      <c r="A24" s="2" t="s">
        <v>23</v>
      </c>
      <c r="B24" s="2">
        <v>0.84830000000000005</v>
      </c>
      <c r="C24" s="2">
        <v>7.8600000000000003E-2</v>
      </c>
      <c r="D24" s="2">
        <v>2.4256050320397081E-3</v>
      </c>
      <c r="E24" s="2">
        <v>958.32</v>
      </c>
      <c r="F24" s="5">
        <v>8.6199999999999992</v>
      </c>
      <c r="G24" s="5">
        <v>892</v>
      </c>
      <c r="H24" s="5">
        <v>4490</v>
      </c>
      <c r="I24" s="5">
        <v>1840</v>
      </c>
      <c r="J24" s="5">
        <v>6330</v>
      </c>
      <c r="L24" s="2"/>
    </row>
    <row r="25" spans="1:12" x14ac:dyDescent="0.3">
      <c r="A25" s="2" t="s">
        <v>24</v>
      </c>
      <c r="B25" s="2">
        <v>0.66700000000000004</v>
      </c>
      <c r="C25" s="2">
        <v>0.12959999999999999</v>
      </c>
      <c r="D25" s="2">
        <v>2.286143012891402E-2</v>
      </c>
      <c r="E25" s="2">
        <v>708.62</v>
      </c>
      <c r="F25" s="5">
        <v>18.3</v>
      </c>
      <c r="G25" s="5">
        <v>9870</v>
      </c>
      <c r="H25" s="5">
        <v>45400</v>
      </c>
      <c r="I25" s="5">
        <v>9410</v>
      </c>
      <c r="J25" s="5">
        <v>54900</v>
      </c>
      <c r="L25" s="2"/>
    </row>
    <row r="26" spans="1:12" x14ac:dyDescent="0.3">
      <c r="A26" s="2" t="s">
        <v>25</v>
      </c>
      <c r="B26" s="2">
        <v>0.56899999999999995</v>
      </c>
      <c r="C26" s="2">
        <v>0.20780000000000001</v>
      </c>
      <c r="D26" s="2">
        <v>0.32789114597861818</v>
      </c>
      <c r="E26" s="2">
        <v>1499.6</v>
      </c>
      <c r="F26" s="2"/>
      <c r="G26" s="2"/>
      <c r="H26" s="2"/>
      <c r="I26" s="2"/>
      <c r="J26" s="2"/>
      <c r="L26" s="2"/>
    </row>
    <row r="27" spans="1:12" x14ac:dyDescent="0.3">
      <c r="A27" s="2" t="s">
        <v>26</v>
      </c>
      <c r="B27" s="2">
        <v>0.31009999999999999</v>
      </c>
      <c r="C27" s="2">
        <v>0.1825</v>
      </c>
      <c r="E27" s="2">
        <v>1336.02</v>
      </c>
      <c r="F27" s="2"/>
      <c r="G27" s="2"/>
      <c r="H27" s="2"/>
      <c r="I27" s="2"/>
      <c r="J27" s="2"/>
      <c r="L27" s="2"/>
    </row>
    <row r="28" spans="1:12" x14ac:dyDescent="0.3">
      <c r="A28" s="2" t="s">
        <v>27</v>
      </c>
      <c r="B28" s="2">
        <v>0.63339999999999996</v>
      </c>
      <c r="C28" s="2">
        <v>0.23630000000000001</v>
      </c>
      <c r="D28" s="2">
        <v>0.36765389345036947</v>
      </c>
      <c r="E28" s="2">
        <v>1454.68</v>
      </c>
      <c r="F28" s="2"/>
      <c r="G28" s="2"/>
      <c r="H28" s="2"/>
      <c r="I28" s="2"/>
      <c r="J28" s="2"/>
      <c r="L28" s="2"/>
    </row>
    <row r="29" spans="1:12" x14ac:dyDescent="0.3">
      <c r="A29" s="2" t="s">
        <v>38</v>
      </c>
      <c r="B29" s="2">
        <v>0.50649999999999995</v>
      </c>
      <c r="C29" s="2"/>
      <c r="D29">
        <v>0.13087289897903501</v>
      </c>
      <c r="E29" s="2"/>
      <c r="F29">
        <v>482.33333333333331</v>
      </c>
      <c r="G29" s="2">
        <v>7614.333333333333</v>
      </c>
      <c r="H29" s="2">
        <v>13479.666666666666</v>
      </c>
      <c r="I29" s="2">
        <v>31434.666666666668</v>
      </c>
      <c r="J29" s="2">
        <v>44914.666666666664</v>
      </c>
      <c r="L29" s="2"/>
    </row>
    <row r="30" spans="1:12" x14ac:dyDescent="0.3">
      <c r="A30" s="2" t="s">
        <v>39</v>
      </c>
      <c r="B30" s="2">
        <v>0.6018</v>
      </c>
      <c r="C30" s="2"/>
      <c r="D30">
        <v>0.17496529684033901</v>
      </c>
      <c r="E30" s="2"/>
      <c r="F30">
        <v>2132</v>
      </c>
      <c r="G30">
        <v>8817</v>
      </c>
      <c r="H30">
        <v>25185.333333333332</v>
      </c>
      <c r="I30">
        <v>38586</v>
      </c>
      <c r="J30">
        <v>63771.333333333336</v>
      </c>
      <c r="L30" s="2"/>
    </row>
    <row r="31" spans="1:12" x14ac:dyDescent="0.3">
      <c r="A31" s="2" t="s">
        <v>40</v>
      </c>
      <c r="B31" s="2">
        <v>0.6593</v>
      </c>
      <c r="C31" s="2"/>
      <c r="D31">
        <v>0.27655138237950599</v>
      </c>
      <c r="E31" s="2"/>
      <c r="F31" s="2">
        <v>1677.3333333333333</v>
      </c>
      <c r="G31" s="2">
        <v>11755.333333333334</v>
      </c>
      <c r="H31" s="2">
        <v>64665.333333333336</v>
      </c>
      <c r="I31" s="2">
        <v>32949</v>
      </c>
      <c r="J31" s="2">
        <v>97614.333333333328</v>
      </c>
      <c r="L31" s="2"/>
    </row>
    <row r="32" spans="1:12" x14ac:dyDescent="0.3">
      <c r="A32" s="2" t="s">
        <v>41</v>
      </c>
      <c r="B32" s="2">
        <v>0.5857</v>
      </c>
      <c r="D32">
        <v>0.12747476888788301</v>
      </c>
      <c r="F32">
        <v>284</v>
      </c>
      <c r="G32">
        <v>585.66666666666663</v>
      </c>
      <c r="H32">
        <v>16873.333333333332</v>
      </c>
      <c r="I32">
        <v>3559.3333333333335</v>
      </c>
      <c r="J32">
        <v>20432.666666666668</v>
      </c>
      <c r="L32" s="2"/>
    </row>
    <row r="33" spans="1:12" x14ac:dyDescent="0.3">
      <c r="A33" s="2" t="s">
        <v>42</v>
      </c>
      <c r="B33" s="2">
        <v>0.76680000000000004</v>
      </c>
      <c r="D33">
        <v>5.8956698292408698E-4</v>
      </c>
      <c r="F33">
        <v>1249</v>
      </c>
      <c r="G33">
        <v>1602</v>
      </c>
      <c r="H33">
        <v>31696.666666666668</v>
      </c>
      <c r="I33">
        <v>13767.666666666666</v>
      </c>
      <c r="J33">
        <v>45464.333333333336</v>
      </c>
      <c r="L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B3ED-559A-4604-B734-5B39E6D3177C}">
  <dimension ref="A1:L33"/>
  <sheetViews>
    <sheetView tabSelected="1" workbookViewId="0">
      <selection activeCell="A29" sqref="A29:J33"/>
    </sheetView>
  </sheetViews>
  <sheetFormatPr defaultRowHeight="14.4" x14ac:dyDescent="0.3"/>
  <cols>
    <col min="1" max="1" width="18" bestFit="1" customWidth="1"/>
    <col min="5" max="5" width="26.44140625" bestFit="1" customWidth="1"/>
    <col min="6" max="6" width="19.88671875" customWidth="1"/>
    <col min="7" max="7" width="28.109375" bestFit="1" customWidth="1"/>
    <col min="8" max="8" width="41.44140625" bestFit="1" customWidth="1"/>
    <col min="9" max="9" width="25.5546875" bestFit="1" customWidth="1"/>
  </cols>
  <sheetData>
    <row r="1" spans="1:12" x14ac:dyDescent="0.3">
      <c r="A1" s="1" t="s">
        <v>0</v>
      </c>
      <c r="B1" s="1" t="s">
        <v>28</v>
      </c>
      <c r="C1" s="1" t="s">
        <v>29</v>
      </c>
      <c r="D1" s="1" t="s">
        <v>49</v>
      </c>
      <c r="E1" s="1" t="s">
        <v>50</v>
      </c>
      <c r="F1" s="4" t="s">
        <v>35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36</v>
      </c>
      <c r="L1" s="1"/>
    </row>
    <row r="2" spans="1:12" x14ac:dyDescent="0.3">
      <c r="A2" s="2" t="s">
        <v>1</v>
      </c>
      <c r="B2" s="2">
        <v>0.61909999999999998</v>
      </c>
      <c r="C2" s="2">
        <v>0.1</v>
      </c>
      <c r="D2" s="2">
        <v>3.1500180973823212E-2</v>
      </c>
      <c r="E2" s="2">
        <v>1145.0999999999999</v>
      </c>
      <c r="F2" s="5">
        <v>61.4</v>
      </c>
      <c r="G2" s="5">
        <v>20800</v>
      </c>
      <c r="H2" s="5">
        <v>86000</v>
      </c>
      <c r="I2" s="5">
        <v>5560</v>
      </c>
      <c r="J2" s="5">
        <v>91500</v>
      </c>
      <c r="L2" s="2"/>
    </row>
    <row r="3" spans="1:12" x14ac:dyDescent="0.3">
      <c r="A3" s="2" t="s">
        <v>2</v>
      </c>
      <c r="B3" s="2">
        <v>0.65259999999999996</v>
      </c>
      <c r="C3" s="2">
        <v>0.1</v>
      </c>
      <c r="D3" s="2">
        <v>1.4118777509143884E-2</v>
      </c>
      <c r="E3" s="2">
        <v>778.8</v>
      </c>
      <c r="F3" s="5">
        <v>179</v>
      </c>
      <c r="G3" s="5">
        <v>20300</v>
      </c>
      <c r="H3" s="5">
        <v>83800</v>
      </c>
      <c r="I3" s="5">
        <v>5200</v>
      </c>
      <c r="J3" s="5">
        <v>89000</v>
      </c>
      <c r="L3" s="2"/>
    </row>
    <row r="4" spans="1:12" x14ac:dyDescent="0.3">
      <c r="A4" s="2" t="s">
        <v>3</v>
      </c>
      <c r="B4" s="2">
        <v>0.86680000000000001</v>
      </c>
      <c r="C4" s="2">
        <v>0.1</v>
      </c>
      <c r="D4" s="2">
        <v>3.8402733956685352E-3</v>
      </c>
      <c r="E4" s="2">
        <v>961.4</v>
      </c>
      <c r="F4" s="5"/>
      <c r="G4" s="5">
        <v>1060</v>
      </c>
      <c r="H4" s="5">
        <v>5420</v>
      </c>
      <c r="I4" s="5">
        <v>1360</v>
      </c>
      <c r="J4" s="5">
        <v>6790</v>
      </c>
      <c r="L4" s="2"/>
    </row>
    <row r="5" spans="1:12" x14ac:dyDescent="0.3">
      <c r="A5" s="2" t="s">
        <v>4</v>
      </c>
      <c r="B5" s="2">
        <v>0.9204</v>
      </c>
      <c r="C5" s="2">
        <v>0.1</v>
      </c>
      <c r="D5" s="2">
        <v>8.9964966481772353E-4</v>
      </c>
      <c r="E5" s="2">
        <v>624.6</v>
      </c>
      <c r="F5" s="5"/>
      <c r="G5" s="5">
        <v>954</v>
      </c>
      <c r="H5" s="5">
        <v>4580</v>
      </c>
      <c r="I5" s="5">
        <v>1160</v>
      </c>
      <c r="J5" s="5">
        <v>5740</v>
      </c>
      <c r="L5" s="2"/>
    </row>
    <row r="6" spans="1:12" x14ac:dyDescent="0.3">
      <c r="A6" s="2" t="s">
        <v>5</v>
      </c>
      <c r="B6" s="2">
        <v>0.58199999999999996</v>
      </c>
      <c r="C6" s="2">
        <v>862</v>
      </c>
      <c r="D6" s="2">
        <v>1.6144529509458421E-2</v>
      </c>
      <c r="E6" s="2">
        <v>1100</v>
      </c>
      <c r="F6" s="5">
        <v>91.6</v>
      </c>
      <c r="G6" s="5">
        <v>19800</v>
      </c>
      <c r="H6" s="5">
        <v>77900</v>
      </c>
      <c r="I6" s="5">
        <v>20700</v>
      </c>
      <c r="J6" s="5">
        <v>98700</v>
      </c>
      <c r="L6" s="2"/>
    </row>
    <row r="7" spans="1:12" x14ac:dyDescent="0.3">
      <c r="A7" s="2" t="s">
        <v>6</v>
      </c>
      <c r="B7" s="2">
        <v>0.67420000000000002</v>
      </c>
      <c r="C7" s="2">
        <v>0.1</v>
      </c>
      <c r="D7" s="2">
        <v>1.0835244750320067E-2</v>
      </c>
      <c r="E7" s="2">
        <v>841.9</v>
      </c>
      <c r="F7" s="5">
        <v>85</v>
      </c>
      <c r="G7" s="5">
        <v>24400</v>
      </c>
      <c r="H7" s="5">
        <v>93300</v>
      </c>
      <c r="I7" s="5">
        <v>17700</v>
      </c>
      <c r="J7" s="5">
        <v>111000</v>
      </c>
      <c r="L7" s="2"/>
    </row>
    <row r="8" spans="1:12" x14ac:dyDescent="0.3">
      <c r="A8" s="2" t="s">
        <v>7</v>
      </c>
      <c r="B8" s="2">
        <v>0.51229999999999998</v>
      </c>
      <c r="C8" s="2">
        <v>0.1</v>
      </c>
      <c r="D8" s="2">
        <v>2.4152136946381852E-2</v>
      </c>
      <c r="E8" s="2">
        <v>1188.5</v>
      </c>
      <c r="F8" s="5">
        <v>40.299999999999997</v>
      </c>
      <c r="G8" s="5">
        <v>24800</v>
      </c>
      <c r="H8" s="5">
        <v>109000</v>
      </c>
      <c r="I8" s="5">
        <v>4880</v>
      </c>
      <c r="J8" s="5">
        <v>114000</v>
      </c>
      <c r="L8" s="2"/>
    </row>
    <row r="9" spans="1:12" x14ac:dyDescent="0.3">
      <c r="A9" s="2" t="s">
        <v>8</v>
      </c>
      <c r="B9" s="2">
        <v>0.59450000000000003</v>
      </c>
      <c r="C9" s="2">
        <v>0.1</v>
      </c>
      <c r="D9" s="2">
        <v>2.9457383948342797E-2</v>
      </c>
      <c r="E9" s="2">
        <v>1668.6</v>
      </c>
      <c r="F9" s="5">
        <v>8.14</v>
      </c>
      <c r="G9" s="5">
        <v>11700</v>
      </c>
      <c r="H9" s="5">
        <v>53100</v>
      </c>
      <c r="I9" s="5">
        <v>1760</v>
      </c>
      <c r="J9" s="5">
        <v>54800</v>
      </c>
      <c r="L9" s="2"/>
    </row>
    <row r="10" spans="1:12" x14ac:dyDescent="0.3">
      <c r="A10" s="2" t="s">
        <v>9</v>
      </c>
      <c r="B10" s="2">
        <v>0.93540000000000001</v>
      </c>
      <c r="C10" s="2">
        <v>0</v>
      </c>
      <c r="D10" s="2">
        <v>5.8359843292148793E-7</v>
      </c>
      <c r="E10" s="2">
        <v>1033.3</v>
      </c>
      <c r="F10" s="2"/>
      <c r="G10" s="2"/>
      <c r="H10" s="2"/>
      <c r="I10" s="2">
        <v>14</v>
      </c>
      <c r="J10" s="2"/>
      <c r="L10" s="2"/>
    </row>
    <row r="11" spans="1:12" x14ac:dyDescent="0.3">
      <c r="A11" s="2" t="s">
        <v>10</v>
      </c>
      <c r="B11" s="2">
        <v>0.62546000000000002</v>
      </c>
      <c r="C11" s="2">
        <v>0.1</v>
      </c>
      <c r="D11" s="2">
        <v>0.11243097188951999</v>
      </c>
      <c r="E11" s="2">
        <v>1113.3</v>
      </c>
      <c r="F11" s="5"/>
      <c r="G11" s="5">
        <v>0</v>
      </c>
      <c r="H11" s="5">
        <v>0</v>
      </c>
      <c r="I11" s="5">
        <v>5370</v>
      </c>
      <c r="J11" s="5">
        <v>5370</v>
      </c>
      <c r="L11" s="2"/>
    </row>
    <row r="12" spans="1:12" x14ac:dyDescent="0.3">
      <c r="A12" s="2" t="s">
        <v>11</v>
      </c>
      <c r="B12" s="2">
        <v>0.7419</v>
      </c>
      <c r="C12" s="3">
        <v>0.1</v>
      </c>
      <c r="D12" s="3">
        <v>3.7141851624556085E-3</v>
      </c>
      <c r="E12" s="3">
        <v>872.9</v>
      </c>
      <c r="F12" s="2"/>
      <c r="G12" s="2"/>
      <c r="H12" s="2"/>
      <c r="I12" s="2"/>
      <c r="J12" s="2"/>
      <c r="L12" s="2"/>
    </row>
    <row r="13" spans="1:12" x14ac:dyDescent="0.3">
      <c r="A13" s="2" t="s">
        <v>12</v>
      </c>
      <c r="B13" s="2">
        <v>0.86060000000000003</v>
      </c>
      <c r="C13" s="2">
        <v>8.9899999999999994E-2</v>
      </c>
      <c r="D13" s="2">
        <v>2.5243867162267088E-2</v>
      </c>
      <c r="E13" s="2">
        <v>666.92</v>
      </c>
      <c r="F13" s="5"/>
      <c r="G13" s="5">
        <v>208</v>
      </c>
      <c r="H13" s="5">
        <v>968</v>
      </c>
      <c r="I13" s="5">
        <v>142</v>
      </c>
      <c r="J13" s="5">
        <v>1110</v>
      </c>
      <c r="L13" s="2"/>
    </row>
    <row r="14" spans="1:12" x14ac:dyDescent="0.3">
      <c r="A14" s="2" t="s">
        <v>13</v>
      </c>
      <c r="B14" s="2">
        <v>0.86529999999999996</v>
      </c>
      <c r="C14" s="2">
        <v>0.86599999999999999</v>
      </c>
      <c r="D14" s="2">
        <v>1.4193949240615997E-2</v>
      </c>
      <c r="E14" s="2">
        <v>645.69000000000005</v>
      </c>
      <c r="F14" s="5"/>
      <c r="G14" s="5">
        <v>58.8</v>
      </c>
      <c r="H14" s="5">
        <v>266</v>
      </c>
      <c r="I14" s="5">
        <v>173</v>
      </c>
      <c r="J14" s="5">
        <v>439</v>
      </c>
      <c r="L14" s="2"/>
    </row>
    <row r="15" spans="1:12" x14ac:dyDescent="0.3">
      <c r="A15" s="2" t="s">
        <v>14</v>
      </c>
      <c r="B15" s="2">
        <v>0.79949999999999999</v>
      </c>
      <c r="C15" s="2">
        <v>7.4300000000000005E-2</v>
      </c>
      <c r="D15" s="2">
        <v>1.3392177105150206E-2</v>
      </c>
      <c r="E15" s="2">
        <v>728.45</v>
      </c>
      <c r="F15" s="5"/>
      <c r="G15" s="5">
        <v>252</v>
      </c>
      <c r="H15" s="5">
        <v>995</v>
      </c>
      <c r="I15" s="5">
        <v>513</v>
      </c>
      <c r="J15" s="5">
        <v>1510</v>
      </c>
      <c r="L15" s="2"/>
    </row>
    <row r="16" spans="1:12" x14ac:dyDescent="0.3">
      <c r="A16" s="2" t="s">
        <v>15</v>
      </c>
      <c r="B16" s="2">
        <v>0.68669999999999998</v>
      </c>
      <c r="C16" s="2">
        <v>4.3999999999999997E-2</v>
      </c>
      <c r="D16" s="2">
        <v>1.5929243356614313E-3</v>
      </c>
      <c r="E16" s="2">
        <v>340.4</v>
      </c>
      <c r="F16" s="5">
        <v>1.05</v>
      </c>
      <c r="G16" s="5">
        <v>9160</v>
      </c>
      <c r="H16" s="5">
        <v>35300</v>
      </c>
      <c r="I16" s="5">
        <v>8090</v>
      </c>
      <c r="J16" s="5">
        <v>43400</v>
      </c>
      <c r="L16" s="2"/>
    </row>
    <row r="17" spans="1:12" x14ac:dyDescent="0.3">
      <c r="A17" s="2" t="s">
        <v>16</v>
      </c>
      <c r="B17">
        <v>0.74609999999999999</v>
      </c>
      <c r="C17">
        <v>4.1599999999999998E-2</v>
      </c>
      <c r="D17">
        <v>6.6114327148240157E-2</v>
      </c>
      <c r="E17">
        <v>233.41</v>
      </c>
      <c r="F17" s="6">
        <v>0</v>
      </c>
      <c r="G17" s="6">
        <v>87.277801563515865</v>
      </c>
      <c r="H17" s="6">
        <v>335.58943779008479</v>
      </c>
      <c r="I17" s="6">
        <v>56.67348524491382</v>
      </c>
      <c r="J17" s="6">
        <f t="shared" ref="J17" si="0">H17+I17</f>
        <v>392.26292303499861</v>
      </c>
    </row>
    <row r="18" spans="1:12" x14ac:dyDescent="0.3">
      <c r="A18" s="2" t="s">
        <v>17</v>
      </c>
      <c r="B18" s="2">
        <v>0.88029999999999997</v>
      </c>
      <c r="C18" s="2">
        <v>0.107</v>
      </c>
      <c r="D18" s="2">
        <v>5.6905402999777283E-2</v>
      </c>
      <c r="E18" s="2">
        <v>433.33</v>
      </c>
      <c r="F18" s="5"/>
      <c r="G18" s="5">
        <v>16.899999999999999</v>
      </c>
      <c r="H18" s="5">
        <v>62.8</v>
      </c>
      <c r="I18" s="5">
        <v>92.7</v>
      </c>
      <c r="J18" s="5">
        <v>155</v>
      </c>
      <c r="L18" s="2"/>
    </row>
    <row r="19" spans="1:12" x14ac:dyDescent="0.3">
      <c r="A19" s="2" t="s">
        <v>18</v>
      </c>
      <c r="B19" s="2">
        <v>0.63580000000000003</v>
      </c>
      <c r="C19" s="2">
        <v>5.6599999999999998E-2</v>
      </c>
      <c r="D19" s="2">
        <v>2.1139807512213834E-2</v>
      </c>
      <c r="E19" s="2">
        <v>408.72</v>
      </c>
      <c r="F19" s="5">
        <v>8.3699999999999992</v>
      </c>
      <c r="G19" s="5">
        <v>10400</v>
      </c>
      <c r="H19" s="5">
        <v>43100</v>
      </c>
      <c r="I19" s="5">
        <v>9520</v>
      </c>
      <c r="J19" s="5">
        <v>52600</v>
      </c>
      <c r="L19" s="2"/>
    </row>
    <row r="20" spans="1:12" x14ac:dyDescent="0.3">
      <c r="A20" s="2" t="s">
        <v>19</v>
      </c>
      <c r="B20" s="2">
        <v>0.56540000000000001</v>
      </c>
      <c r="C20" s="2">
        <v>4.6399999999999997E-2</v>
      </c>
      <c r="D20" s="2">
        <v>5.0288622965648884E-3</v>
      </c>
      <c r="E20" s="2">
        <v>380.08</v>
      </c>
      <c r="F20" s="5">
        <v>46</v>
      </c>
      <c r="G20" s="5">
        <v>9250</v>
      </c>
      <c r="H20" s="5">
        <v>45500</v>
      </c>
      <c r="I20" s="5">
        <v>29700</v>
      </c>
      <c r="J20" s="5">
        <v>75200</v>
      </c>
      <c r="L20" s="2"/>
    </row>
    <row r="21" spans="1:12" x14ac:dyDescent="0.3">
      <c r="A21" s="2" t="s">
        <v>20</v>
      </c>
      <c r="B21" s="2">
        <v>0.86550000000000005</v>
      </c>
      <c r="C21" s="2">
        <v>6.3799999999999996E-2</v>
      </c>
      <c r="D21" s="2">
        <v>1.0698191489654198E-2</v>
      </c>
      <c r="E21" s="2">
        <v>536.41999999999996</v>
      </c>
      <c r="F21" s="5">
        <v>2.09</v>
      </c>
      <c r="G21" s="5">
        <v>144</v>
      </c>
      <c r="H21" s="5">
        <v>601</v>
      </c>
      <c r="I21" s="5">
        <v>1570</v>
      </c>
      <c r="J21" s="5">
        <v>2170</v>
      </c>
      <c r="L21" s="2"/>
    </row>
    <row r="22" spans="1:12" x14ac:dyDescent="0.3">
      <c r="A22" s="2" t="s">
        <v>21</v>
      </c>
      <c r="B22" s="2">
        <v>0.76559999999999995</v>
      </c>
      <c r="C22" s="2">
        <v>4.65E-2</v>
      </c>
      <c r="D22" s="2">
        <v>8.9541705785103065E-3</v>
      </c>
      <c r="E22" s="2">
        <v>674.89</v>
      </c>
      <c r="F22" s="5">
        <v>9.6999999999999993</v>
      </c>
      <c r="G22" s="5">
        <v>1020</v>
      </c>
      <c r="H22" s="5">
        <v>5050</v>
      </c>
      <c r="I22" s="5">
        <v>3190</v>
      </c>
      <c r="J22" s="5">
        <v>8240</v>
      </c>
      <c r="L22" s="2"/>
    </row>
    <row r="23" spans="1:12" x14ac:dyDescent="0.3">
      <c r="A23" s="2" t="s">
        <v>22</v>
      </c>
      <c r="B23" s="2">
        <v>0.53439999999999999</v>
      </c>
      <c r="C23" s="2">
        <v>0.1153</v>
      </c>
      <c r="D23" s="2">
        <v>0.16846751362794241</v>
      </c>
      <c r="E23" s="2">
        <v>720.89</v>
      </c>
      <c r="F23" s="2"/>
      <c r="G23" s="2"/>
      <c r="H23" s="2"/>
      <c r="I23" s="2"/>
      <c r="J23" s="2"/>
      <c r="L23" s="2"/>
    </row>
    <row r="24" spans="1:12" x14ac:dyDescent="0.3">
      <c r="A24" s="2" t="s">
        <v>23</v>
      </c>
      <c r="B24" s="2">
        <v>0.84830000000000005</v>
      </c>
      <c r="C24" s="2">
        <v>7.8600000000000003E-2</v>
      </c>
      <c r="D24" s="2">
        <v>2.4256050320397081E-3</v>
      </c>
      <c r="E24" s="2">
        <v>958.32</v>
      </c>
      <c r="F24" s="5">
        <v>8.6199999999999992</v>
      </c>
      <c r="G24" s="5">
        <v>892</v>
      </c>
      <c r="H24" s="5">
        <v>4490</v>
      </c>
      <c r="I24" s="5">
        <v>1840</v>
      </c>
      <c r="J24" s="5">
        <v>6330</v>
      </c>
      <c r="L24" s="2"/>
    </row>
    <row r="25" spans="1:12" x14ac:dyDescent="0.3">
      <c r="A25" s="2" t="s">
        <v>24</v>
      </c>
      <c r="B25" s="2">
        <v>0.66700000000000004</v>
      </c>
      <c r="C25" s="2">
        <v>0.12959999999999999</v>
      </c>
      <c r="D25" s="2">
        <v>2.286143012891402E-2</v>
      </c>
      <c r="E25" s="2">
        <v>708.62</v>
      </c>
      <c r="F25" s="5">
        <v>18.3</v>
      </c>
      <c r="G25" s="5">
        <v>9870</v>
      </c>
      <c r="H25" s="5">
        <v>45400</v>
      </c>
      <c r="I25" s="5">
        <v>9410</v>
      </c>
      <c r="J25" s="5">
        <v>54900</v>
      </c>
      <c r="L25" s="2"/>
    </row>
    <row r="26" spans="1:12" x14ac:dyDescent="0.3">
      <c r="A26" s="2" t="s">
        <v>25</v>
      </c>
      <c r="B26" s="2">
        <v>0.56899999999999995</v>
      </c>
      <c r="C26" s="2">
        <v>0.20780000000000001</v>
      </c>
      <c r="D26" s="2">
        <v>0.32789114597861818</v>
      </c>
      <c r="E26" s="2">
        <v>1499.6</v>
      </c>
      <c r="F26" s="2"/>
      <c r="G26" s="2"/>
      <c r="H26" s="2"/>
      <c r="I26" s="2"/>
      <c r="J26" s="2"/>
      <c r="L26" s="2"/>
    </row>
    <row r="27" spans="1:12" x14ac:dyDescent="0.3">
      <c r="A27" s="2" t="s">
        <v>26</v>
      </c>
      <c r="B27" s="2">
        <v>0.31009999999999999</v>
      </c>
      <c r="C27" s="2">
        <v>0.1825</v>
      </c>
      <c r="E27" s="2">
        <v>1336.02</v>
      </c>
      <c r="F27" s="2"/>
      <c r="G27" s="2"/>
      <c r="H27" s="2"/>
      <c r="I27" s="2"/>
      <c r="J27" s="2"/>
      <c r="L27" s="2"/>
    </row>
    <row r="28" spans="1:12" x14ac:dyDescent="0.3">
      <c r="A28" s="2" t="s">
        <v>27</v>
      </c>
      <c r="B28" s="2">
        <v>0.63339999999999996</v>
      </c>
      <c r="C28" s="2">
        <v>0.23630000000000001</v>
      </c>
      <c r="D28" s="2">
        <v>0.36765389345036947</v>
      </c>
      <c r="E28" s="2">
        <v>1454.68</v>
      </c>
      <c r="F28" s="2"/>
      <c r="G28" s="2"/>
      <c r="H28" s="2"/>
      <c r="I28" s="2"/>
      <c r="J28" s="2"/>
      <c r="L28" s="2"/>
    </row>
    <row r="29" spans="1:12" x14ac:dyDescent="0.3">
      <c r="A29" s="2"/>
      <c r="B29" s="2"/>
      <c r="C29" s="2"/>
      <c r="E29" s="2"/>
      <c r="G29" s="2"/>
      <c r="H29" s="2"/>
      <c r="I29" s="2"/>
      <c r="J29" s="2"/>
      <c r="L29" s="2"/>
    </row>
    <row r="30" spans="1:12" x14ac:dyDescent="0.3">
      <c r="A30" s="2"/>
      <c r="B30" s="2"/>
      <c r="C30" s="2"/>
      <c r="E30" s="2"/>
      <c r="L30" s="2"/>
    </row>
    <row r="31" spans="1:12" x14ac:dyDescent="0.3">
      <c r="A31" s="2"/>
      <c r="B31" s="2"/>
      <c r="C31" s="2"/>
      <c r="E31" s="2"/>
      <c r="F31" s="2"/>
      <c r="G31" s="2"/>
      <c r="H31" s="2"/>
      <c r="I31" s="2"/>
      <c r="J31" s="2"/>
      <c r="L31" s="2"/>
    </row>
    <row r="32" spans="1:12" x14ac:dyDescent="0.3">
      <c r="A32" s="2"/>
      <c r="B32" s="2"/>
      <c r="L32" s="2"/>
    </row>
    <row r="33" spans="1:12" x14ac:dyDescent="0.3">
      <c r="A33" s="2"/>
      <c r="B33" s="2"/>
      <c r="L3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9878-E451-4C06-B017-0A13EE945E08}">
  <dimension ref="A1:L35"/>
  <sheetViews>
    <sheetView workbookViewId="0">
      <selection activeCell="D2" sqref="D2:D3"/>
    </sheetView>
  </sheetViews>
  <sheetFormatPr defaultRowHeight="14.4" x14ac:dyDescent="0.3"/>
  <cols>
    <col min="1" max="1" width="17.44140625" bestFit="1" customWidth="1"/>
    <col min="7" max="7" width="17.33203125" customWidth="1"/>
    <col min="11" max="11" width="15.33203125" customWidth="1"/>
  </cols>
  <sheetData>
    <row r="1" spans="1:12" x14ac:dyDescent="0.3">
      <c r="A1" s="1" t="s">
        <v>0</v>
      </c>
      <c r="B1" s="1" t="s">
        <v>47</v>
      </c>
      <c r="C1" s="1" t="s">
        <v>48</v>
      </c>
      <c r="D1" s="1" t="s">
        <v>28</v>
      </c>
      <c r="E1" s="1" t="s">
        <v>29</v>
      </c>
      <c r="F1" s="1" t="s">
        <v>30</v>
      </c>
      <c r="G1" s="4" t="s">
        <v>35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36</v>
      </c>
    </row>
    <row r="2" spans="1:12" x14ac:dyDescent="0.3">
      <c r="A2" s="2" t="s">
        <v>37</v>
      </c>
      <c r="B2" s="2">
        <v>0.3579</v>
      </c>
      <c r="C2" s="1"/>
      <c r="D2" s="2">
        <v>0.58330000000000004</v>
      </c>
      <c r="E2" s="1"/>
      <c r="F2" s="1"/>
      <c r="G2" s="7">
        <v>563574.66666666663</v>
      </c>
      <c r="H2" s="2">
        <v>234.66666666666666</v>
      </c>
      <c r="I2" s="2">
        <v>935.66666666666663</v>
      </c>
      <c r="J2" s="2">
        <v>750.33333333333337</v>
      </c>
      <c r="K2" s="2">
        <v>1686</v>
      </c>
      <c r="L2" s="1"/>
    </row>
    <row r="3" spans="1:12" x14ac:dyDescent="0.3">
      <c r="A3" s="2" t="s">
        <v>45</v>
      </c>
      <c r="B3" s="2">
        <v>0.35759999999999997</v>
      </c>
      <c r="C3" s="1"/>
      <c r="D3" s="2">
        <v>0.55230000000000001</v>
      </c>
      <c r="E3" s="1"/>
      <c r="F3" s="1"/>
      <c r="G3" s="7">
        <v>512325</v>
      </c>
      <c r="H3" s="2">
        <v>4240.666666666667</v>
      </c>
      <c r="I3" s="2">
        <v>14300.333333333334</v>
      </c>
      <c r="J3" s="2">
        <v>15753.333333333334</v>
      </c>
      <c r="K3" s="2">
        <v>30053.666666666668</v>
      </c>
      <c r="L3" s="1"/>
    </row>
    <row r="4" spans="1:12" x14ac:dyDescent="0.3">
      <c r="A4" s="2" t="s">
        <v>46</v>
      </c>
      <c r="B4" s="2">
        <v>0.3775</v>
      </c>
      <c r="C4" s="2"/>
      <c r="D4" s="2">
        <v>0.4531</v>
      </c>
      <c r="E4" s="2"/>
      <c r="F4" s="2"/>
      <c r="G4" s="5">
        <v>76816</v>
      </c>
      <c r="H4" s="5">
        <v>3136</v>
      </c>
      <c r="I4" s="5">
        <v>5508.666666666667</v>
      </c>
      <c r="J4" s="5">
        <v>11743.666666666666</v>
      </c>
      <c r="K4" s="5">
        <v>17252.333333333332</v>
      </c>
    </row>
    <row r="5" spans="1:12" x14ac:dyDescent="0.3">
      <c r="A5" s="2" t="s">
        <v>43</v>
      </c>
      <c r="B5" s="2">
        <v>0.37880000000000003</v>
      </c>
      <c r="C5" s="2"/>
      <c r="D5" s="2">
        <v>0.45540000000000003</v>
      </c>
      <c r="E5" s="2"/>
      <c r="F5" s="2"/>
      <c r="G5" s="5">
        <v>281111</v>
      </c>
      <c r="H5" s="5">
        <v>896</v>
      </c>
      <c r="I5" s="5">
        <v>6692.666666666667</v>
      </c>
      <c r="J5" s="5">
        <v>2728.6666666666665</v>
      </c>
      <c r="K5" s="5">
        <v>9421</v>
      </c>
    </row>
    <row r="6" spans="1:12" x14ac:dyDescent="0.3">
      <c r="A6" s="2" t="s">
        <v>44</v>
      </c>
      <c r="B6" s="2">
        <v>0.378</v>
      </c>
      <c r="C6" s="2"/>
      <c r="D6" s="2">
        <v>0.54200000000000004</v>
      </c>
      <c r="E6" s="2"/>
      <c r="F6" s="2"/>
      <c r="G6" s="5">
        <v>1882877</v>
      </c>
      <c r="H6" s="5">
        <v>439.33333333333331</v>
      </c>
      <c r="I6" s="5">
        <v>6201.666666666667</v>
      </c>
      <c r="J6" s="5">
        <v>1249.3333333333333</v>
      </c>
      <c r="K6" s="5">
        <v>7451.333333333333</v>
      </c>
    </row>
    <row r="7" spans="1:12" x14ac:dyDescent="0.3">
      <c r="A7" s="2"/>
      <c r="B7" s="2"/>
      <c r="C7" s="2"/>
      <c r="D7" s="2"/>
      <c r="E7" s="2"/>
      <c r="F7" s="2"/>
      <c r="G7" s="5"/>
      <c r="H7" s="5"/>
      <c r="I7" s="5"/>
      <c r="J7" s="5"/>
      <c r="K7" s="5"/>
    </row>
    <row r="8" spans="1:12" x14ac:dyDescent="0.3">
      <c r="A8" s="2"/>
      <c r="B8" s="2"/>
      <c r="C8" s="2"/>
      <c r="D8" s="2"/>
      <c r="E8" s="2"/>
      <c r="F8" s="2"/>
      <c r="G8" s="5"/>
      <c r="H8" s="5"/>
      <c r="I8" s="5"/>
      <c r="J8" s="5"/>
      <c r="K8" s="5"/>
    </row>
    <row r="9" spans="1:12" x14ac:dyDescent="0.3">
      <c r="A9" s="2"/>
      <c r="B9" s="2"/>
      <c r="C9" s="2"/>
      <c r="D9" s="2"/>
      <c r="E9" s="2"/>
      <c r="F9" s="2"/>
      <c r="G9" s="5"/>
      <c r="H9" s="5"/>
      <c r="I9" s="5"/>
      <c r="J9" s="5"/>
      <c r="K9" s="5"/>
    </row>
    <row r="10" spans="1:12" x14ac:dyDescent="0.3">
      <c r="A10" s="2"/>
      <c r="B10" s="2"/>
      <c r="C10" s="2"/>
      <c r="D10" s="2"/>
      <c r="E10" s="2"/>
      <c r="F10" s="2"/>
      <c r="G10" s="5"/>
      <c r="H10" s="5"/>
      <c r="I10" s="5"/>
      <c r="J10" s="5"/>
      <c r="K10" s="5"/>
    </row>
    <row r="11" spans="1:12" x14ac:dyDescent="0.3">
      <c r="A11" s="2"/>
      <c r="B11" s="2"/>
      <c r="C11" s="2"/>
      <c r="D11" s="2"/>
      <c r="E11" s="2"/>
      <c r="F11" s="2"/>
      <c r="G11" s="5"/>
      <c r="H11" s="5"/>
      <c r="I11" s="5"/>
      <c r="J11" s="5"/>
      <c r="K11" s="5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3">
      <c r="A13" s="2"/>
      <c r="B13" s="2"/>
      <c r="C13" s="2"/>
      <c r="D13" s="2"/>
      <c r="E13" s="2"/>
      <c r="F13" s="2"/>
      <c r="G13" s="5"/>
      <c r="H13" s="5"/>
      <c r="I13" s="5"/>
      <c r="J13" s="5"/>
      <c r="K13" s="5"/>
    </row>
    <row r="14" spans="1:12" x14ac:dyDescent="0.3">
      <c r="A14" s="2"/>
      <c r="B14" s="2"/>
      <c r="C14" s="3"/>
      <c r="D14" s="3"/>
      <c r="E14" s="3"/>
      <c r="F14" s="3"/>
      <c r="G14" s="2"/>
      <c r="H14" s="2"/>
      <c r="I14" s="2"/>
      <c r="J14" s="2"/>
      <c r="K14" s="2"/>
    </row>
    <row r="15" spans="1:12" x14ac:dyDescent="0.3">
      <c r="A15" s="2"/>
      <c r="B15" s="2"/>
      <c r="C15" s="2"/>
      <c r="D15" s="2"/>
      <c r="E15" s="2"/>
      <c r="F15" s="2"/>
      <c r="G15" s="5"/>
      <c r="H15" s="5"/>
      <c r="I15" s="5"/>
      <c r="J15" s="5"/>
      <c r="K15" s="5"/>
    </row>
    <row r="16" spans="1:12" x14ac:dyDescent="0.3">
      <c r="A16" s="2"/>
      <c r="B16" s="2"/>
      <c r="C16" s="2"/>
      <c r="D16" s="2"/>
      <c r="E16" s="2"/>
      <c r="F16" s="2"/>
      <c r="G16" s="5"/>
      <c r="H16" s="5"/>
      <c r="I16" s="5"/>
      <c r="J16" s="5"/>
      <c r="K16" s="5"/>
    </row>
    <row r="17" spans="1:11" x14ac:dyDescent="0.3">
      <c r="A17" s="2"/>
      <c r="B17" s="2"/>
      <c r="C17" s="2"/>
      <c r="D17" s="2"/>
      <c r="E17" s="2"/>
      <c r="F17" s="2"/>
      <c r="G17" s="5"/>
      <c r="H17" s="5"/>
      <c r="I17" s="5"/>
      <c r="J17" s="5"/>
      <c r="K17" s="5"/>
    </row>
    <row r="18" spans="1:11" x14ac:dyDescent="0.3">
      <c r="A18" s="2"/>
      <c r="B18" s="2"/>
      <c r="C18" s="2"/>
      <c r="D18" s="2"/>
      <c r="E18" s="2"/>
      <c r="F18" s="2"/>
      <c r="G18" s="5"/>
      <c r="H18" s="5"/>
      <c r="I18" s="5"/>
      <c r="J18" s="5"/>
      <c r="K18" s="5"/>
    </row>
    <row r="19" spans="1:11" x14ac:dyDescent="0.3">
      <c r="A19" s="2"/>
      <c r="G19" s="6"/>
      <c r="H19" s="6"/>
      <c r="I19" s="6"/>
      <c r="J19" s="6"/>
      <c r="K19" s="6"/>
    </row>
    <row r="20" spans="1:11" x14ac:dyDescent="0.3">
      <c r="A20" s="2"/>
      <c r="B20" s="2"/>
      <c r="C20" s="2"/>
      <c r="D20" s="2"/>
      <c r="E20" s="2"/>
      <c r="F20" s="2"/>
      <c r="G20" s="5"/>
      <c r="H20" s="5"/>
      <c r="I20" s="5"/>
      <c r="J20" s="5"/>
      <c r="K20" s="5"/>
    </row>
    <row r="21" spans="1:11" x14ac:dyDescent="0.3">
      <c r="A21" s="2"/>
      <c r="B21" s="2"/>
      <c r="C21" s="2"/>
      <c r="D21" s="2"/>
      <c r="E21" s="2"/>
      <c r="F21" s="2"/>
      <c r="G21" s="5"/>
      <c r="H21" s="5"/>
      <c r="I21" s="5"/>
      <c r="J21" s="5"/>
      <c r="K21" s="5"/>
    </row>
    <row r="22" spans="1:11" x14ac:dyDescent="0.3">
      <c r="A22" s="2"/>
      <c r="B22" s="2"/>
      <c r="C22" s="2"/>
      <c r="D22" s="2"/>
      <c r="E22" s="2"/>
      <c r="F22" s="2"/>
      <c r="G22" s="5"/>
      <c r="H22" s="5"/>
      <c r="I22" s="5"/>
      <c r="J22" s="5"/>
      <c r="K22" s="5"/>
    </row>
    <row r="23" spans="1:11" x14ac:dyDescent="0.3">
      <c r="A23" s="2"/>
      <c r="B23" s="2"/>
      <c r="C23" s="2"/>
      <c r="D23" s="2"/>
      <c r="E23" s="2"/>
      <c r="F23" s="2"/>
      <c r="G23" s="5"/>
      <c r="H23" s="5"/>
      <c r="I23" s="5"/>
      <c r="J23" s="5"/>
      <c r="K23" s="5"/>
    </row>
    <row r="24" spans="1:11" x14ac:dyDescent="0.3">
      <c r="A24" s="2"/>
      <c r="B24" s="2"/>
      <c r="C24" s="2"/>
      <c r="D24" s="2"/>
      <c r="E24" s="2"/>
      <c r="F24" s="2"/>
      <c r="G24" s="5"/>
      <c r="H24" s="5"/>
      <c r="I24" s="5"/>
      <c r="J24" s="5"/>
      <c r="K24" s="5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5"/>
      <c r="H26" s="5"/>
      <c r="I26" s="5"/>
      <c r="J26" s="5"/>
      <c r="K26" s="5"/>
    </row>
    <row r="27" spans="1:11" x14ac:dyDescent="0.3">
      <c r="A27" s="2"/>
      <c r="B27" s="2"/>
      <c r="C27" s="2"/>
      <c r="D27" s="2"/>
      <c r="E27" s="2"/>
      <c r="F27" s="2"/>
      <c r="G27" s="5"/>
      <c r="H27" s="5"/>
      <c r="I27" s="5"/>
      <c r="J27" s="5"/>
      <c r="K27" s="5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H31" s="2"/>
      <c r="I31" s="2"/>
      <c r="J31" s="2"/>
      <c r="K31" s="2"/>
    </row>
    <row r="32" spans="1:11" x14ac:dyDescent="0.3">
      <c r="A32" s="2"/>
      <c r="B32" s="2"/>
      <c r="C32" s="2"/>
      <c r="D32" s="2"/>
      <c r="E32" s="2"/>
      <c r="F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</row>
    <row r="35" spans="1:11" x14ac:dyDescent="0.3">
      <c r="A35" s="2"/>
      <c r="B3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glacier_algae (2)</vt:lpstr>
      <vt:lpstr>glacier_algae</vt:lpstr>
      <vt:lpstr>snow_algae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Shunan Feng</dc:creator>
  <cp:lastModifiedBy>Shunan Feng</cp:lastModifiedBy>
  <dcterms:created xsi:type="dcterms:W3CDTF">2015-06-05T18:19:34Z</dcterms:created>
  <dcterms:modified xsi:type="dcterms:W3CDTF">2026-08-01T15:08:27Z</dcterms:modified>
</cp:coreProperties>
</file>